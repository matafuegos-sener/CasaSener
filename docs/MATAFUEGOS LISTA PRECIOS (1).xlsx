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530"/>
  </bookViews>
  <sheets>
    <sheet name="Hoja 1" sheetId="1" r:id="rId1"/>
  </sheets>
  <calcPr calcId="162913"/>
</workbook>
</file>

<file path=xl/calcChain.xml><?xml version="1.0" encoding="utf-8"?>
<calcChain xmlns="http://schemas.openxmlformats.org/spreadsheetml/2006/main">
  <c r="B29" i="1" l="1"/>
  <c r="B28" i="1"/>
  <c r="B3" i="1"/>
  <c r="B20" i="1"/>
  <c r="B21" i="1"/>
  <c r="B22" i="1"/>
  <c r="B13" i="1"/>
  <c r="B7" i="1"/>
  <c r="B6" i="1"/>
  <c r="B4" i="1"/>
  <c r="B14" i="1"/>
</calcChain>
</file>

<file path=xl/sharedStrings.xml><?xml version="1.0" encoding="utf-8"?>
<sst xmlns="http://schemas.openxmlformats.org/spreadsheetml/2006/main" count="48" uniqueCount="25">
  <si>
    <t>Polvo ABC (portátil)</t>
  </si>
  <si>
    <t>Capacidad</t>
  </si>
  <si>
    <t>Recarga aprox.</t>
  </si>
  <si>
    <t>Venta nueva aprox.</t>
  </si>
  <si>
    <t>1 kg</t>
  </si>
  <si>
    <t>$21.900</t>
  </si>
  <si>
    <t>2,5 kg</t>
  </si>
  <si>
    <t>5 kg</t>
  </si>
  <si>
    <t>10 kg</t>
  </si>
  <si>
    <t>25 kg (rodante)</t>
  </si>
  <si>
    <t>CO₂</t>
  </si>
  <si>
    <t>3,5 kg</t>
  </si>
  <si>
    <t>$452.000</t>
  </si>
  <si>
    <t>$585.700</t>
  </si>
  <si>
    <t>HCFC 123</t>
  </si>
  <si>
    <t>Venta nueva</t>
  </si>
  <si>
    <t>Tipo</t>
  </si>
  <si>
    <t>Agua BP 10 lt</t>
  </si>
  <si>
    <t>Agua AFFF 6 lt</t>
  </si>
  <si>
    <t>AGREGAR ACCESORIOS A CONTINUACION</t>
  </si>
  <si>
    <t>A consultar</t>
  </si>
  <si>
    <t>6 lt</t>
  </si>
  <si>
    <t>3,5 lt</t>
  </si>
  <si>
    <t>1 lt</t>
  </si>
  <si>
    <t>10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</si>
</sst>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\ #,##0;[Red]\-&quot;$&quot;\ #,##0"/>
    <numFmt numFmtId="164" formatCode="&quot;$&quot;\ #,##0.00"/>
  </numFmts>
  <fonts count="6">
    <font>
      <sz val="10"/>
      <color rgb="FF000000"/>
      <name val="Arial"/>
      <scheme val="minor"/>
    </font>
    <font>
      <sz val="12"/>
      <color rgb="FF000000"/>
      <name val="&quot;DM Sans&quot;"/>
    </font>
    <font>
      <sz val="10"/>
      <color rgb="FF000000"/>
      <name val="Arial"/>
      <family val="2"/>
      <scheme val="minor"/>
    </font>
    <font>
      <b/>
      <sz val="12"/>
      <color rgb="FF000000"/>
      <name val="&quot;DM Sans&quot;"/>
    </font>
    <font>
      <sz val="11"/>
      <color rgb="FF000000"/>
      <name val="&quot;DM Sans&quot;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262C3A"/>
      </left>
      <right style="thin">
        <color rgb="FF262C3A"/>
      </right>
      <top style="thin">
        <color rgb="FF262C3A"/>
      </top>
      <bottom style="thin">
        <color rgb="FF262C3A"/>
      </bottom>
      <diagonal/>
    </border>
    <border>
      <left style="thin">
        <color rgb="FF262C3A"/>
      </left>
      <right style="thin">
        <color rgb="FF262C3A"/>
      </right>
      <top/>
      <bottom style="thin">
        <color rgb="FF262C3A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164" fontId="1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6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tabSelected="1" workbookViewId="0">
      <selection activeCell="G10" sqref="G10"/>
    </sheetView>
  </sheetViews>
  <sheetFormatPr baseColWidth="10" defaultColWidth="12.5703125" defaultRowHeight="15.75" customHeight="1"/>
  <cols>
    <col min="1" max="1" width="18.85546875" customWidth="1"/>
    <col min="2" max="2" width="25.85546875" customWidth="1"/>
    <col min="3" max="3" width="24.7109375" customWidth="1"/>
  </cols>
  <sheetData>
    <row r="1" spans="1:3">
      <c r="A1" s="1" t="s">
        <v>0</v>
      </c>
      <c r="B1" s="2"/>
      <c r="C1" s="2"/>
    </row>
    <row r="2" spans="1:3" ht="15.75" customHeight="1">
      <c r="A2" s="3" t="s">
        <v>1</v>
      </c>
      <c r="B2" s="3" t="s">
        <v>2</v>
      </c>
      <c r="C2" s="3" t="s">
        <v>3</v>
      </c>
    </row>
    <row r="3" spans="1:3">
      <c r="A3" s="4" t="s">
        <v>4</v>
      </c>
      <c r="B3" s="7">
        <f>B5-(B5*38%)</f>
        <v>22757.1</v>
      </c>
      <c r="C3" s="7" t="s">
        <v>5</v>
      </c>
    </row>
    <row r="4" spans="1:3">
      <c r="A4" s="4" t="s">
        <v>6</v>
      </c>
      <c r="B4" s="7">
        <f>B5*0.75</f>
        <v>27528.75</v>
      </c>
      <c r="C4" s="8" t="s">
        <v>20</v>
      </c>
    </row>
    <row r="5" spans="1:3">
      <c r="A5" s="4" t="s">
        <v>7</v>
      </c>
      <c r="B5" s="7">
        <v>36705</v>
      </c>
      <c r="C5" s="7">
        <v>112500</v>
      </c>
    </row>
    <row r="6" spans="1:3">
      <c r="A6" s="4" t="s">
        <v>8</v>
      </c>
      <c r="B6" s="7">
        <f>B5+(B5*35%)</f>
        <v>49551.75</v>
      </c>
      <c r="C6" s="8" t="s">
        <v>20</v>
      </c>
    </row>
    <row r="7" spans="1:3">
      <c r="A7" s="4" t="s">
        <v>9</v>
      </c>
      <c r="B7" s="7">
        <f>B5*4.5</f>
        <v>165172.5</v>
      </c>
      <c r="C7" s="8" t="s">
        <v>20</v>
      </c>
    </row>
    <row r="8" spans="1:3">
      <c r="A8" s="5"/>
      <c r="B8" s="2"/>
      <c r="C8" s="2"/>
    </row>
    <row r="9" spans="1:3">
      <c r="A9" s="5"/>
      <c r="B9" s="2"/>
      <c r="C9" s="2"/>
    </row>
    <row r="10" spans="1:3">
      <c r="A10" s="1" t="s">
        <v>10</v>
      </c>
      <c r="B10" s="2"/>
      <c r="C10" s="2"/>
    </row>
    <row r="11" spans="1:3" ht="15.75" customHeight="1">
      <c r="A11" s="3" t="s">
        <v>1</v>
      </c>
      <c r="B11" s="3" t="s">
        <v>2</v>
      </c>
      <c r="C11" s="3" t="s">
        <v>3</v>
      </c>
    </row>
    <row r="12" spans="1:3">
      <c r="A12" s="4" t="s">
        <v>4</v>
      </c>
      <c r="B12" s="8" t="s">
        <v>20</v>
      </c>
      <c r="C12" s="8" t="s">
        <v>20</v>
      </c>
    </row>
    <row r="13" spans="1:3">
      <c r="A13" s="4" t="s">
        <v>11</v>
      </c>
      <c r="B13" s="9">
        <f>B5+(B5*10%)</f>
        <v>40375.5</v>
      </c>
      <c r="C13" s="4" t="s">
        <v>12</v>
      </c>
    </row>
    <row r="14" spans="1:3">
      <c r="A14" s="4" t="s">
        <v>7</v>
      </c>
      <c r="B14" s="7">
        <f>B5+(B5*16%)</f>
        <v>42577.8</v>
      </c>
      <c r="C14" s="4" t="s">
        <v>13</v>
      </c>
    </row>
    <row r="15" spans="1:3">
      <c r="A15" s="4" t="s">
        <v>8</v>
      </c>
      <c r="B15" s="8" t="s">
        <v>20</v>
      </c>
      <c r="C15" s="8" t="s">
        <v>20</v>
      </c>
    </row>
    <row r="16" spans="1:3">
      <c r="A16" s="5"/>
      <c r="B16" s="2"/>
      <c r="C16" s="2"/>
    </row>
    <row r="17" spans="1:3">
      <c r="A17" s="5"/>
      <c r="B17" s="2"/>
      <c r="C17" s="2"/>
    </row>
    <row r="18" spans="1:3">
      <c r="A18" s="1" t="s">
        <v>14</v>
      </c>
      <c r="B18" s="2"/>
      <c r="C18" s="2"/>
    </row>
    <row r="19" spans="1:3" ht="15.75" customHeight="1">
      <c r="A19" s="3" t="s">
        <v>1</v>
      </c>
      <c r="B19" s="3" t="s">
        <v>2</v>
      </c>
      <c r="C19" s="3" t="s">
        <v>15</v>
      </c>
    </row>
    <row r="20" spans="1:3" ht="15.75" customHeight="1">
      <c r="A20" s="4" t="s">
        <v>23</v>
      </c>
      <c r="B20" s="7">
        <f>B5+(B5*9%)</f>
        <v>40008.449999999997</v>
      </c>
      <c r="C20" s="8" t="s">
        <v>20</v>
      </c>
    </row>
    <row r="21" spans="1:3">
      <c r="A21" s="4" t="s">
        <v>22</v>
      </c>
      <c r="B21" s="7">
        <f>B5+(B5*25%)</f>
        <v>45881.25</v>
      </c>
      <c r="C21" s="8" t="s">
        <v>20</v>
      </c>
    </row>
    <row r="22" spans="1:3">
      <c r="A22" s="4" t="s">
        <v>21</v>
      </c>
      <c r="B22" s="7">
        <f>B5+(B5*30%)</f>
        <v>47716.5</v>
      </c>
      <c r="C22" s="4" t="s">
        <v>13</v>
      </c>
    </row>
    <row r="23" spans="1:3">
      <c r="A23" s="4" t="s">
        <v>24</v>
      </c>
      <c r="B23" s="8" t="s">
        <v>20</v>
      </c>
      <c r="C23" s="8" t="s">
        <v>20</v>
      </c>
    </row>
    <row r="24" spans="1:3" ht="14.25">
      <c r="A24" s="5"/>
      <c r="B24" s="2"/>
      <c r="C24" s="2"/>
    </row>
    <row r="25" spans="1:3" ht="14.25">
      <c r="A25" s="5"/>
      <c r="B25" s="2"/>
      <c r="C25" s="2"/>
    </row>
    <row r="26" spans="1:3" ht="15">
      <c r="A26" s="1"/>
      <c r="B26" s="2"/>
      <c r="C26" s="2"/>
    </row>
    <row r="27" spans="1:3">
      <c r="A27" s="3" t="s">
        <v>16</v>
      </c>
      <c r="B27" s="3" t="s">
        <v>2</v>
      </c>
      <c r="C27" s="3" t="s">
        <v>15</v>
      </c>
    </row>
    <row r="28" spans="1:3">
      <c r="A28" s="4" t="s">
        <v>17</v>
      </c>
      <c r="B28" s="7">
        <f>B5</f>
        <v>36705</v>
      </c>
      <c r="C28" s="8" t="s">
        <v>20</v>
      </c>
    </row>
    <row r="29" spans="1:3">
      <c r="A29" s="4" t="s">
        <v>18</v>
      </c>
      <c r="B29" s="7">
        <f>B5+(B5*30%)</f>
        <v>47716.5</v>
      </c>
      <c r="C29" s="8" t="s">
        <v>20</v>
      </c>
    </row>
    <row r="30" spans="1:3" ht="14.25">
      <c r="A30" s="5"/>
      <c r="B30" s="2"/>
      <c r="C30" s="2"/>
    </row>
    <row r="31" spans="1:3" ht="14.25">
      <c r="A31" s="5"/>
      <c r="B31" s="2"/>
      <c r="C31" s="2"/>
    </row>
    <row r="32" spans="1:3" ht="12.75">
      <c r="A32" s="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2026-07-28T23:09:38Z</dcterms:modified>
</cp:coreProperties>
</file>